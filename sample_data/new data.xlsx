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ownloads\"/>
    </mc:Choice>
  </mc:AlternateContent>
  <xr:revisionPtr revIDLastSave="0" documentId="13_ncr:1_{2351B69E-80C1-4B46-B0BC-C7F704FE5FB0}" xr6:coauthVersionLast="47" xr6:coauthVersionMax="47" xr10:uidLastSave="{00000000-0000-0000-0000-000000000000}"/>
  <bookViews>
    <workbookView xWindow="-108" yWindow="-108" windowWidth="23256" windowHeight="12456" xr2:uid="{F367242D-FE1C-4F1E-AFC3-7940CD7A5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1" l="1"/>
  <c r="E41" i="1"/>
  <c r="H40" i="1"/>
  <c r="E40" i="1"/>
  <c r="H39" i="1"/>
  <c r="E39" i="1"/>
  <c r="H38" i="1"/>
  <c r="E38" i="1"/>
  <c r="H37" i="1"/>
  <c r="E37" i="1"/>
  <c r="K36" i="1"/>
  <c r="H36" i="1"/>
  <c r="E36" i="1"/>
  <c r="H35" i="1"/>
  <c r="E35" i="1"/>
  <c r="K34" i="1"/>
  <c r="K33" i="1"/>
  <c r="H32" i="1"/>
  <c r="E32" i="1"/>
  <c r="H31" i="1"/>
  <c r="E31" i="1"/>
  <c r="H30" i="1"/>
  <c r="E30" i="1"/>
  <c r="H29" i="1"/>
  <c r="E29" i="1"/>
  <c r="H28" i="1"/>
  <c r="E28" i="1"/>
  <c r="K27" i="1"/>
  <c r="H27" i="1"/>
  <c r="E27" i="1"/>
  <c r="H26" i="1"/>
  <c r="E26" i="1"/>
  <c r="H25" i="1"/>
  <c r="E25" i="1"/>
  <c r="H24" i="1"/>
  <c r="E24" i="1"/>
  <c r="H23" i="1"/>
  <c r="E23" i="1"/>
  <c r="K22" i="1"/>
  <c r="H22" i="1"/>
  <c r="E22" i="1"/>
  <c r="K21" i="1"/>
  <c r="H21" i="1"/>
  <c r="E21" i="1"/>
  <c r="K20" i="1"/>
  <c r="H20" i="1"/>
  <c r="E20" i="1"/>
  <c r="H19" i="1"/>
  <c r="E19" i="1"/>
  <c r="H18" i="1"/>
  <c r="E18" i="1"/>
  <c r="H17" i="1"/>
  <c r="E17" i="1"/>
  <c r="K16" i="1"/>
  <c r="H16" i="1"/>
  <c r="E16" i="1"/>
  <c r="H15" i="1"/>
  <c r="E15" i="1"/>
  <c r="H14" i="1"/>
  <c r="E14" i="1"/>
  <c r="H13" i="1"/>
  <c r="E13" i="1"/>
  <c r="H12" i="1"/>
  <c r="E12" i="1"/>
  <c r="H11" i="1"/>
  <c r="E11" i="1"/>
  <c r="H10" i="1"/>
  <c r="E10" i="1"/>
  <c r="K9" i="1"/>
  <c r="H9" i="1"/>
  <c r="E9" i="1"/>
  <c r="H8" i="1"/>
  <c r="E8" i="1"/>
  <c r="H7" i="1"/>
  <c r="E7" i="1"/>
  <c r="H6" i="1"/>
  <c r="E6" i="1"/>
  <c r="H5" i="1"/>
  <c r="E5" i="1"/>
  <c r="H4" i="1"/>
  <c r="E4" i="1"/>
  <c r="H3" i="1"/>
  <c r="E3" i="1"/>
  <c r="H2" i="1"/>
  <c r="E2" i="1"/>
</calcChain>
</file>

<file path=xl/sharedStrings.xml><?xml version="1.0" encoding="utf-8"?>
<sst xmlns="http://schemas.openxmlformats.org/spreadsheetml/2006/main" count="129" uniqueCount="69">
  <si>
    <t>Composition</t>
  </si>
  <si>
    <t>Microwire</t>
  </si>
  <si>
    <t>e/a</t>
  </si>
  <si>
    <t>d</t>
  </si>
  <si>
    <t>m</t>
  </si>
  <si>
    <t>M length</t>
  </si>
  <si>
    <t>A length</t>
  </si>
  <si>
    <t>strain</t>
  </si>
  <si>
    <t>D</t>
  </si>
  <si>
    <t>d/D</t>
  </si>
  <si>
    <t>Hysterezia</t>
  </si>
  <si>
    <t>iAs1.</t>
  </si>
  <si>
    <t>I a/m2</t>
  </si>
  <si>
    <t>Ni46Fe31Ga15Si8</t>
  </si>
  <si>
    <t>1/10</t>
  </si>
  <si>
    <t>1/5</t>
  </si>
  <si>
    <t>-</t>
  </si>
  <si>
    <t>Ni47Fe24Ga23Co6</t>
  </si>
  <si>
    <t>2/1</t>
  </si>
  <si>
    <t>2/2</t>
  </si>
  <si>
    <t>Ni47Fe30Ga17Si6</t>
  </si>
  <si>
    <t>1/1</t>
  </si>
  <si>
    <t>1/8</t>
  </si>
  <si>
    <t>Ni48Fe25Ga27</t>
  </si>
  <si>
    <t>2/3</t>
  </si>
  <si>
    <t>2/5</t>
  </si>
  <si>
    <t>Ni48Fe27Ga21Cu2</t>
  </si>
  <si>
    <t>2/4</t>
  </si>
  <si>
    <t>Ni48Fe28Ga21Si2</t>
  </si>
  <si>
    <t>Ni48Fe29Ga19Si4</t>
  </si>
  <si>
    <t>Ni48Fe29Ga19Sn4</t>
  </si>
  <si>
    <t>Ni48Ge25Ga23Co4</t>
  </si>
  <si>
    <t>1/2</t>
  </si>
  <si>
    <t>Ni48Ge25Ga27</t>
  </si>
  <si>
    <t>Ni49Fe25Ga26</t>
  </si>
  <si>
    <t>1/3</t>
  </si>
  <si>
    <t>Ni49Fe28Ga21Si2</t>
  </si>
  <si>
    <t>1/9</t>
  </si>
  <si>
    <t>Ni50Fe25Ga25</t>
  </si>
  <si>
    <t>3/1</t>
  </si>
  <si>
    <t>Ni50Fe26Ga24</t>
  </si>
  <si>
    <t>Ni50Fe27Ga23</t>
  </si>
  <si>
    <t>10/1</t>
  </si>
  <si>
    <t>10/4</t>
  </si>
  <si>
    <t>11/1</t>
  </si>
  <si>
    <t>12/2</t>
  </si>
  <si>
    <t>2/6</t>
  </si>
  <si>
    <t>5/4</t>
  </si>
  <si>
    <t>6/2</t>
  </si>
  <si>
    <t>6/4</t>
  </si>
  <si>
    <t>6/6</t>
  </si>
  <si>
    <t>9/1</t>
  </si>
  <si>
    <t>9/2-2 cm</t>
  </si>
  <si>
    <t>9/2-16 cm</t>
  </si>
  <si>
    <t>9/3</t>
  </si>
  <si>
    <t>Ni51Fe25Ga24</t>
  </si>
  <si>
    <t>Ni51Fe26Ga21</t>
  </si>
  <si>
    <t>Ni52Fe15Ga27Co6</t>
  </si>
  <si>
    <t>Ni54Fe19Ga27</t>
  </si>
  <si>
    <t>Ni55Fe18Ga27</t>
  </si>
  <si>
    <t>4/1</t>
  </si>
  <si>
    <t>4/2</t>
  </si>
  <si>
    <t>,</t>
  </si>
  <si>
    <t>Af1</t>
  </si>
  <si>
    <t>Mf1</t>
  </si>
  <si>
    <t>Ms1</t>
  </si>
  <si>
    <t>As1</t>
  </si>
  <si>
    <t>Af2</t>
  </si>
  <si>
    <t>As2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</si>
</sst>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20002-70EE-40F5-9842-D2B5E7AB0EE3}">
  <dimension ref="A1:T298"/>
  <sheetViews>
    <sheetView tabSelected="1" topLeftCell="C19" workbookViewId="0">
      <selection activeCell="T41" sqref="T41"/>
    </sheetView>
  </sheetViews>
  <sheetFormatPr defaultRowHeight="14.4" x14ac:dyDescent="0.3"/>
  <cols>
    <col min="1" max="1" width="19.6640625" customWidth="1"/>
    <col min="2" max="2" width="9.33203125" style="1" bestFit="1" customWidth="1"/>
    <col min="3" max="3" width="9.33203125" style="1" customWidth="1"/>
    <col min="4" max="4" width="12" customWidth="1"/>
    <col min="5" max="5" width="12.6640625" style="3" customWidth="1"/>
    <col min="6" max="6" width="12" customWidth="1"/>
    <col min="7" max="7" width="11.5546875" customWidth="1"/>
    <col min="8" max="9" width="17.44140625" customWidth="1"/>
  </cols>
  <sheetData>
    <row r="1" spans="1:20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3</v>
      </c>
      <c r="J1" t="s">
        <v>8</v>
      </c>
      <c r="K1" t="s">
        <v>9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10</v>
      </c>
      <c r="S1" t="s">
        <v>11</v>
      </c>
      <c r="T1" t="s">
        <v>12</v>
      </c>
    </row>
    <row r="2" spans="1:20" x14ac:dyDescent="0.3">
      <c r="A2" t="s">
        <v>13</v>
      </c>
      <c r="B2" s="1" t="s">
        <v>14</v>
      </c>
      <c r="D2">
        <v>19.899999999999999</v>
      </c>
      <c r="E2" s="3">
        <f t="shared" ref="E2:E41" si="0">(100000000*PI()*(D2*0.000001/2)^2/9.80665*1000)-1.36</f>
        <v>1.8115777221275706</v>
      </c>
      <c r="F2">
        <v>29</v>
      </c>
      <c r="G2">
        <v>29</v>
      </c>
      <c r="H2" s="2">
        <f t="shared" ref="H2:H41" si="1">((F2-G2)/(F2+7))*100</f>
        <v>0</v>
      </c>
      <c r="I2" s="4"/>
      <c r="J2" s="4"/>
      <c r="K2" s="2"/>
      <c r="L2" s="4"/>
      <c r="M2" s="4"/>
      <c r="N2" s="4"/>
      <c r="O2" s="4"/>
      <c r="P2" s="4"/>
      <c r="Q2" s="4"/>
      <c r="R2" s="4"/>
      <c r="S2" s="4"/>
    </row>
    <row r="3" spans="1:20" x14ac:dyDescent="0.3">
      <c r="A3" t="s">
        <v>13</v>
      </c>
      <c r="B3" s="1" t="s">
        <v>15</v>
      </c>
      <c r="D3">
        <v>15.3</v>
      </c>
      <c r="E3" s="3">
        <f t="shared" si="0"/>
        <v>0.51478757852792367</v>
      </c>
      <c r="F3">
        <v>9</v>
      </c>
      <c r="G3" t="s">
        <v>16</v>
      </c>
      <c r="H3" s="2" t="e">
        <f t="shared" si="1"/>
        <v>#VALUE!</v>
      </c>
      <c r="I3" s="4"/>
      <c r="J3" s="4"/>
      <c r="K3" s="2"/>
      <c r="L3" s="4"/>
      <c r="M3" s="4"/>
      <c r="N3" s="4"/>
      <c r="O3" s="4"/>
      <c r="P3" s="4"/>
      <c r="Q3" s="4"/>
      <c r="R3" s="4"/>
      <c r="S3" s="4"/>
    </row>
    <row r="4" spans="1:20" x14ac:dyDescent="0.3">
      <c r="A4" t="s">
        <v>17</v>
      </c>
      <c r="B4" s="1" t="s">
        <v>18</v>
      </c>
      <c r="D4">
        <v>15.1</v>
      </c>
      <c r="E4" s="3">
        <f t="shared" si="0"/>
        <v>0.46609387748366826</v>
      </c>
      <c r="F4">
        <v>16</v>
      </c>
      <c r="G4" t="s">
        <v>16</v>
      </c>
      <c r="H4" s="2" t="e">
        <f t="shared" si="1"/>
        <v>#VALUE!</v>
      </c>
      <c r="I4" s="4"/>
      <c r="J4" s="4"/>
      <c r="K4" s="2"/>
      <c r="L4" s="4"/>
      <c r="M4" s="4"/>
      <c r="N4" s="4"/>
      <c r="O4" s="4"/>
      <c r="P4" s="4"/>
      <c r="Q4" s="4"/>
      <c r="R4" s="4"/>
      <c r="S4" s="4"/>
    </row>
    <row r="5" spans="1:20" x14ac:dyDescent="0.3">
      <c r="A5" t="s">
        <v>17</v>
      </c>
      <c r="B5" s="1" t="s">
        <v>19</v>
      </c>
      <c r="D5">
        <v>8.6999999999999993</v>
      </c>
      <c r="E5" s="3">
        <f t="shared" si="0"/>
        <v>-0.75381147499347034</v>
      </c>
      <c r="F5">
        <v>10</v>
      </c>
      <c r="G5" t="s">
        <v>16</v>
      </c>
      <c r="H5" s="2" t="e">
        <f t="shared" si="1"/>
        <v>#VALUE!</v>
      </c>
      <c r="I5" s="4"/>
      <c r="J5" s="4"/>
      <c r="K5" s="2"/>
      <c r="L5" s="4"/>
      <c r="M5" s="4"/>
      <c r="N5" s="4"/>
      <c r="O5" s="4"/>
      <c r="P5" s="4"/>
      <c r="Q5" s="4"/>
      <c r="R5" s="4"/>
      <c r="S5" s="4"/>
    </row>
    <row r="6" spans="1:20" x14ac:dyDescent="0.3">
      <c r="A6" t="s">
        <v>20</v>
      </c>
      <c r="B6" s="1" t="s">
        <v>21</v>
      </c>
      <c r="D6">
        <v>18.899999999999999</v>
      </c>
      <c r="E6" s="3">
        <f t="shared" si="0"/>
        <v>1.500835024674098</v>
      </c>
      <c r="F6">
        <v>23</v>
      </c>
      <c r="G6" t="s">
        <v>16</v>
      </c>
      <c r="H6" s="2" t="e">
        <f t="shared" si="1"/>
        <v>#VALUE!</v>
      </c>
      <c r="I6" s="4"/>
      <c r="J6" s="4"/>
      <c r="K6" s="2"/>
      <c r="L6" s="4"/>
      <c r="M6" s="4"/>
      <c r="N6" s="4"/>
      <c r="O6" s="4"/>
      <c r="P6" s="4"/>
      <c r="Q6" s="4"/>
      <c r="R6" s="4"/>
      <c r="S6" s="4"/>
    </row>
    <row r="7" spans="1:20" x14ac:dyDescent="0.3">
      <c r="A7" t="s">
        <v>20</v>
      </c>
      <c r="B7" s="1" t="s">
        <v>22</v>
      </c>
      <c r="D7">
        <v>10.4</v>
      </c>
      <c r="E7" s="3">
        <f t="shared" si="0"/>
        <v>-0.49376468668640161</v>
      </c>
      <c r="F7">
        <v>8</v>
      </c>
      <c r="G7" t="s">
        <v>16</v>
      </c>
      <c r="H7" s="2" t="e">
        <f t="shared" si="1"/>
        <v>#VALUE!</v>
      </c>
      <c r="I7" s="4"/>
      <c r="J7" s="4"/>
      <c r="K7" s="2"/>
      <c r="L7" s="4"/>
      <c r="M7" s="4"/>
      <c r="N7" s="4"/>
      <c r="O7" s="4"/>
      <c r="P7" s="4"/>
      <c r="Q7" s="4"/>
      <c r="R7" s="4"/>
      <c r="S7" s="4"/>
    </row>
    <row r="8" spans="1:20" x14ac:dyDescent="0.3">
      <c r="A8" t="s">
        <v>23</v>
      </c>
      <c r="B8" s="1" t="s">
        <v>24</v>
      </c>
      <c r="D8">
        <v>8.1</v>
      </c>
      <c r="E8" s="3">
        <f t="shared" si="0"/>
        <v>-0.83454050567210458</v>
      </c>
      <c r="F8" t="s">
        <v>16</v>
      </c>
      <c r="G8" t="s">
        <v>16</v>
      </c>
      <c r="H8" s="2" t="e">
        <f t="shared" si="1"/>
        <v>#VALUE!</v>
      </c>
      <c r="I8" s="4"/>
      <c r="J8" s="4"/>
      <c r="K8" s="2"/>
      <c r="L8" s="4"/>
      <c r="M8" s="4"/>
      <c r="N8" s="4"/>
      <c r="O8" s="4"/>
      <c r="P8" s="4"/>
      <c r="Q8" s="4"/>
      <c r="R8" s="4"/>
      <c r="S8" s="4"/>
    </row>
    <row r="9" spans="1:20" x14ac:dyDescent="0.3">
      <c r="A9" t="s">
        <v>23</v>
      </c>
      <c r="B9" s="1" t="s">
        <v>25</v>
      </c>
      <c r="D9">
        <v>9.6999999999999993</v>
      </c>
      <c r="E9" s="3">
        <f t="shared" si="0"/>
        <v>-0.60644895867532878</v>
      </c>
      <c r="F9">
        <v>4</v>
      </c>
      <c r="G9" t="s">
        <v>16</v>
      </c>
      <c r="H9" s="2" t="e">
        <f t="shared" si="1"/>
        <v>#VALUE!</v>
      </c>
      <c r="I9" s="4">
        <v>11.8</v>
      </c>
      <c r="J9" s="4">
        <v>42.7</v>
      </c>
      <c r="K9" s="2">
        <f>I9/J9</f>
        <v>0.27634660421545665</v>
      </c>
      <c r="L9" s="4">
        <v>43</v>
      </c>
      <c r="M9" s="4"/>
      <c r="N9" s="4"/>
      <c r="O9" s="4">
        <v>6</v>
      </c>
      <c r="P9" s="4"/>
      <c r="Q9" s="4"/>
      <c r="R9" s="4"/>
      <c r="S9" s="4"/>
    </row>
    <row r="10" spans="1:20" x14ac:dyDescent="0.3">
      <c r="A10" t="s">
        <v>26</v>
      </c>
      <c r="B10" s="1" t="s">
        <v>27</v>
      </c>
      <c r="D10">
        <v>15.6</v>
      </c>
      <c r="E10" s="3">
        <f t="shared" si="0"/>
        <v>0.58902945495559655</v>
      </c>
      <c r="F10">
        <v>9</v>
      </c>
      <c r="G10" t="s">
        <v>16</v>
      </c>
      <c r="H10" s="2" t="e">
        <f t="shared" si="1"/>
        <v>#VALUE!</v>
      </c>
      <c r="I10" s="4"/>
      <c r="J10" s="4"/>
      <c r="K10" s="2"/>
      <c r="L10" s="4"/>
      <c r="M10" s="4"/>
      <c r="N10" s="4"/>
      <c r="O10" s="4"/>
      <c r="P10" s="4"/>
      <c r="Q10" s="4"/>
      <c r="R10" s="4"/>
      <c r="S10" s="4"/>
    </row>
    <row r="11" spans="1:20" x14ac:dyDescent="0.3">
      <c r="A11" t="s">
        <v>28</v>
      </c>
      <c r="B11" s="1" t="s">
        <v>15</v>
      </c>
      <c r="D11">
        <v>10.3</v>
      </c>
      <c r="E11" s="3">
        <f t="shared" si="0"/>
        <v>-0.51034296977219262</v>
      </c>
      <c r="F11">
        <v>3</v>
      </c>
      <c r="G11" t="s">
        <v>16</v>
      </c>
      <c r="H11" s="2" t="e">
        <f t="shared" si="1"/>
        <v>#VALUE!</v>
      </c>
      <c r="I11" s="4"/>
      <c r="J11" s="4"/>
      <c r="K11" s="2"/>
      <c r="L11" s="4"/>
      <c r="M11" s="4"/>
      <c r="N11" s="4"/>
      <c r="O11" s="4"/>
      <c r="P11" s="4"/>
      <c r="Q11" s="4"/>
      <c r="R11" s="4"/>
      <c r="S11" s="4"/>
    </row>
    <row r="12" spans="1:20" x14ac:dyDescent="0.3">
      <c r="A12" t="s">
        <v>29</v>
      </c>
      <c r="B12" s="1" t="s">
        <v>21</v>
      </c>
      <c r="D12">
        <v>14.5</v>
      </c>
      <c r="E12" s="3">
        <f t="shared" si="0"/>
        <v>0.32385701390702737</v>
      </c>
      <c r="F12">
        <v>11</v>
      </c>
      <c r="G12" t="s">
        <v>16</v>
      </c>
      <c r="H12" s="2" t="e">
        <f t="shared" si="1"/>
        <v>#VALUE!</v>
      </c>
      <c r="I12" s="4"/>
      <c r="J12" s="4"/>
      <c r="K12" s="2"/>
      <c r="L12" s="4"/>
      <c r="M12" s="4"/>
      <c r="N12" s="4"/>
      <c r="O12" s="4"/>
      <c r="P12" s="4"/>
      <c r="Q12" s="4"/>
      <c r="R12" s="4"/>
      <c r="S12" s="4"/>
    </row>
    <row r="13" spans="1:20" x14ac:dyDescent="0.3">
      <c r="A13" t="s">
        <v>30</v>
      </c>
      <c r="B13" s="1" t="s">
        <v>18</v>
      </c>
      <c r="D13">
        <v>11.3</v>
      </c>
      <c r="E13" s="3">
        <f t="shared" si="0"/>
        <v>-0.3373521897465479</v>
      </c>
      <c r="F13">
        <v>0</v>
      </c>
      <c r="G13" t="s">
        <v>16</v>
      </c>
      <c r="H13" s="2" t="e">
        <f t="shared" si="1"/>
        <v>#VALUE!</v>
      </c>
      <c r="I13" s="4"/>
      <c r="J13" s="4"/>
      <c r="K13" s="2"/>
      <c r="L13" s="4"/>
      <c r="M13" s="4"/>
      <c r="N13" s="4"/>
      <c r="O13" s="4"/>
      <c r="P13" s="4"/>
      <c r="Q13" s="4"/>
      <c r="R13" s="4"/>
      <c r="S13" s="4"/>
    </row>
    <row r="14" spans="1:20" x14ac:dyDescent="0.3">
      <c r="A14" t="s">
        <v>31</v>
      </c>
      <c r="B14" s="1" t="s">
        <v>32</v>
      </c>
      <c r="D14">
        <v>14.9</v>
      </c>
      <c r="E14" s="3">
        <f t="shared" si="0"/>
        <v>0.4180408830321003</v>
      </c>
      <c r="F14">
        <v>3</v>
      </c>
      <c r="G14" t="s">
        <v>16</v>
      </c>
      <c r="H14" s="2" t="e">
        <f t="shared" si="1"/>
        <v>#VALUE!</v>
      </c>
      <c r="I14" s="4"/>
      <c r="J14" s="4"/>
      <c r="K14" s="2"/>
      <c r="L14" s="4"/>
      <c r="M14" s="4"/>
      <c r="N14" s="4"/>
      <c r="O14" s="4"/>
      <c r="P14" s="4"/>
      <c r="Q14" s="4"/>
      <c r="R14" s="4"/>
      <c r="S14" s="4"/>
    </row>
    <row r="15" spans="1:20" x14ac:dyDescent="0.3">
      <c r="A15" t="s">
        <v>33</v>
      </c>
      <c r="B15" s="1" t="s">
        <v>32</v>
      </c>
      <c r="D15">
        <v>8.3000000000000007</v>
      </c>
      <c r="E15" s="3">
        <f t="shared" si="0"/>
        <v>-0.80827153537191399</v>
      </c>
      <c r="F15">
        <v>2</v>
      </c>
      <c r="G15">
        <v>2</v>
      </c>
      <c r="H15" s="2">
        <f t="shared" si="1"/>
        <v>0</v>
      </c>
      <c r="I15" s="4"/>
      <c r="J15" s="4"/>
      <c r="K15" s="2"/>
      <c r="L15" s="4"/>
      <c r="M15" s="4"/>
      <c r="N15" s="4"/>
      <c r="O15" s="4"/>
      <c r="P15" s="4"/>
      <c r="Q15" s="4"/>
      <c r="R15" s="4"/>
      <c r="S15" s="4"/>
    </row>
    <row r="16" spans="1:20" x14ac:dyDescent="0.3">
      <c r="A16" t="s">
        <v>34</v>
      </c>
      <c r="B16" s="1" t="s">
        <v>32</v>
      </c>
      <c r="D16">
        <v>11.1</v>
      </c>
      <c r="E16" s="3">
        <f t="shared" si="0"/>
        <v>-0.37323175893705218</v>
      </c>
      <c r="F16">
        <v>1</v>
      </c>
      <c r="G16" t="s">
        <v>16</v>
      </c>
      <c r="H16" s="2" t="e">
        <f t="shared" si="1"/>
        <v>#VALUE!</v>
      </c>
      <c r="I16" s="4">
        <v>12.3</v>
      </c>
      <c r="J16" s="4">
        <v>30.9</v>
      </c>
      <c r="K16" s="2">
        <f t="shared" ref="K16" si="2">I16/J16</f>
        <v>0.39805825242718451</v>
      </c>
      <c r="L16" s="4">
        <v>32</v>
      </c>
      <c r="M16" s="4"/>
      <c r="N16" s="4"/>
      <c r="O16" s="4">
        <v>6</v>
      </c>
      <c r="P16" s="4"/>
      <c r="Q16" s="4"/>
      <c r="R16" s="4"/>
      <c r="S16" s="4"/>
    </row>
    <row r="17" spans="1:19" x14ac:dyDescent="0.3">
      <c r="A17" t="s">
        <v>34</v>
      </c>
      <c r="B17" s="1" t="s">
        <v>35</v>
      </c>
      <c r="D17">
        <v>10.8</v>
      </c>
      <c r="E17" s="3">
        <f t="shared" si="0"/>
        <v>-0.42584978786151895</v>
      </c>
      <c r="F17" t="s">
        <v>16</v>
      </c>
      <c r="G17" t="s">
        <v>16</v>
      </c>
      <c r="H17" s="2" t="e">
        <f t="shared" si="1"/>
        <v>#VALUE!</v>
      </c>
      <c r="I17" s="4"/>
      <c r="J17" s="4"/>
      <c r="K17" s="2"/>
      <c r="L17" s="4"/>
      <c r="M17" s="4"/>
      <c r="N17" s="4"/>
      <c r="O17" s="4"/>
      <c r="P17" s="4"/>
      <c r="Q17" s="4"/>
      <c r="R17" s="4"/>
      <c r="S17" s="4"/>
    </row>
    <row r="18" spans="1:19" x14ac:dyDescent="0.3">
      <c r="A18" t="s">
        <v>36</v>
      </c>
      <c r="B18" s="1" t="s">
        <v>37</v>
      </c>
      <c r="D18">
        <v>11.2</v>
      </c>
      <c r="E18" s="3">
        <f t="shared" si="0"/>
        <v>-0.35537206266588606</v>
      </c>
      <c r="F18">
        <v>15</v>
      </c>
      <c r="G18" t="s">
        <v>16</v>
      </c>
      <c r="H18" s="2" t="e">
        <f t="shared" si="1"/>
        <v>#VALUE!</v>
      </c>
      <c r="I18" s="4"/>
      <c r="J18" s="4"/>
      <c r="K18" s="2"/>
      <c r="L18" s="4"/>
      <c r="M18" s="4"/>
      <c r="N18" s="4"/>
      <c r="O18" s="4"/>
      <c r="P18" s="4"/>
      <c r="Q18" s="4"/>
      <c r="R18" s="4"/>
      <c r="S18" s="4"/>
    </row>
    <row r="19" spans="1:19" x14ac:dyDescent="0.3">
      <c r="A19" t="s">
        <v>38</v>
      </c>
      <c r="B19" s="1" t="s">
        <v>18</v>
      </c>
      <c r="D19">
        <v>9.3000000000000007</v>
      </c>
      <c r="E19" s="3">
        <f t="shared" si="0"/>
        <v>-0.66731608498064776</v>
      </c>
      <c r="F19">
        <v>5</v>
      </c>
      <c r="G19" t="s">
        <v>16</v>
      </c>
      <c r="H19" s="2" t="e">
        <f t="shared" si="1"/>
        <v>#VALUE!</v>
      </c>
      <c r="I19" s="4"/>
      <c r="J19" s="4"/>
      <c r="K19" s="2"/>
      <c r="L19" s="4"/>
      <c r="M19" s="4"/>
      <c r="N19" s="4"/>
      <c r="O19" s="4"/>
      <c r="P19" s="4"/>
      <c r="Q19" s="4"/>
      <c r="R19" s="4"/>
      <c r="S19" s="4"/>
    </row>
    <row r="20" spans="1:19" x14ac:dyDescent="0.3">
      <c r="A20" t="s">
        <v>38</v>
      </c>
      <c r="B20" s="1" t="s">
        <v>24</v>
      </c>
      <c r="D20">
        <v>19.600000000000001</v>
      </c>
      <c r="E20" s="3">
        <f t="shared" si="0"/>
        <v>1.716673058085725</v>
      </c>
      <c r="F20">
        <v>4</v>
      </c>
      <c r="G20">
        <v>4</v>
      </c>
      <c r="H20" s="2">
        <f t="shared" si="1"/>
        <v>0</v>
      </c>
      <c r="I20" s="4">
        <v>22.8</v>
      </c>
      <c r="J20" s="4">
        <v>50.4</v>
      </c>
      <c r="K20" s="2">
        <f t="shared" ref="K20:K22" si="3">I20/J20</f>
        <v>0.45238095238095238</v>
      </c>
      <c r="L20" s="4">
        <v>53</v>
      </c>
      <c r="M20" s="4"/>
      <c r="N20" s="4"/>
      <c r="O20" s="4">
        <v>9.3000000000000007</v>
      </c>
      <c r="P20" s="4"/>
      <c r="Q20" s="4"/>
      <c r="R20" s="4"/>
      <c r="S20" s="4"/>
    </row>
    <row r="21" spans="1:19" x14ac:dyDescent="0.3">
      <c r="A21" t="s">
        <v>38</v>
      </c>
      <c r="B21" s="1" t="s">
        <v>39</v>
      </c>
      <c r="D21">
        <v>12.5</v>
      </c>
      <c r="E21" s="3">
        <f t="shared" si="0"/>
        <v>-0.10861993615708476</v>
      </c>
      <c r="F21">
        <v>5</v>
      </c>
      <c r="G21" t="s">
        <v>16</v>
      </c>
      <c r="H21" s="2" t="e">
        <f t="shared" si="1"/>
        <v>#VALUE!</v>
      </c>
      <c r="I21" s="4">
        <v>14.2</v>
      </c>
      <c r="J21" s="4">
        <v>36.4</v>
      </c>
      <c r="K21" s="2">
        <f t="shared" si="3"/>
        <v>0.39010989010989011</v>
      </c>
      <c r="L21" s="4">
        <v>32</v>
      </c>
      <c r="M21" s="4"/>
      <c r="N21" s="4"/>
      <c r="O21" s="4">
        <v>8.9</v>
      </c>
      <c r="P21" s="4"/>
      <c r="Q21" s="4"/>
      <c r="R21" s="4"/>
      <c r="S21" s="4"/>
    </row>
    <row r="22" spans="1:19" x14ac:dyDescent="0.3">
      <c r="A22" t="s">
        <v>40</v>
      </c>
      <c r="B22" s="1" t="s">
        <v>27</v>
      </c>
      <c r="D22">
        <v>10</v>
      </c>
      <c r="E22" s="3">
        <f t="shared" si="0"/>
        <v>-0.55911675914053427</v>
      </c>
      <c r="F22">
        <v>13</v>
      </c>
      <c r="G22" t="s">
        <v>16</v>
      </c>
      <c r="H22" s="2" t="e">
        <f t="shared" si="1"/>
        <v>#VALUE!</v>
      </c>
      <c r="I22" s="4">
        <v>11.2</v>
      </c>
      <c r="J22" s="4">
        <v>63.4</v>
      </c>
      <c r="K22" s="2">
        <f t="shared" si="3"/>
        <v>0.17665615141955834</v>
      </c>
      <c r="L22" s="4">
        <v>50.9</v>
      </c>
      <c r="M22" s="4"/>
      <c r="N22" s="4"/>
      <c r="O22" s="4">
        <v>5.5</v>
      </c>
      <c r="P22" s="4"/>
      <c r="Q22" s="4"/>
      <c r="R22" s="4"/>
      <c r="S22" s="4"/>
    </row>
    <row r="23" spans="1:19" x14ac:dyDescent="0.3">
      <c r="A23" t="s">
        <v>41</v>
      </c>
      <c r="B23" s="1" t="s">
        <v>42</v>
      </c>
      <c r="D23">
        <v>12.4</v>
      </c>
      <c r="E23" s="3">
        <f t="shared" si="0"/>
        <v>-0.12856192885448525</v>
      </c>
      <c r="F23">
        <v>12</v>
      </c>
      <c r="G23">
        <v>10.5</v>
      </c>
      <c r="H23" s="2">
        <f t="shared" si="1"/>
        <v>7.8947368421052628</v>
      </c>
      <c r="I23" s="4"/>
      <c r="J23" s="4"/>
      <c r="K23" s="2"/>
      <c r="L23" s="4"/>
      <c r="M23" s="4"/>
      <c r="N23" s="4"/>
      <c r="O23" s="4"/>
      <c r="P23" s="4"/>
      <c r="Q23" s="4"/>
      <c r="R23" s="4"/>
      <c r="S23" s="4"/>
    </row>
    <row r="24" spans="1:19" x14ac:dyDescent="0.3">
      <c r="A24" t="s">
        <v>41</v>
      </c>
      <c r="B24" s="1" t="s">
        <v>43</v>
      </c>
      <c r="D24">
        <v>13.7</v>
      </c>
      <c r="E24" s="3">
        <f t="shared" si="0"/>
        <v>0.14317775476913153</v>
      </c>
      <c r="F24">
        <v>20</v>
      </c>
      <c r="G24">
        <v>18.5</v>
      </c>
      <c r="H24" s="2">
        <f t="shared" si="1"/>
        <v>5.5555555555555554</v>
      </c>
      <c r="I24" s="4"/>
      <c r="J24" s="4"/>
      <c r="K24" s="2"/>
      <c r="L24" s="4"/>
      <c r="M24" s="4"/>
      <c r="N24" s="4"/>
      <c r="O24" s="4"/>
      <c r="P24" s="4"/>
      <c r="Q24" s="4"/>
      <c r="R24" s="4"/>
      <c r="S24" s="4"/>
    </row>
    <row r="25" spans="1:19" x14ac:dyDescent="0.3">
      <c r="A25" t="s">
        <v>41</v>
      </c>
      <c r="B25" s="1" t="s">
        <v>44</v>
      </c>
      <c r="D25">
        <v>14</v>
      </c>
      <c r="E25" s="3">
        <f t="shared" si="0"/>
        <v>0.20973115208455329</v>
      </c>
      <c r="F25">
        <v>15</v>
      </c>
      <c r="G25">
        <v>12</v>
      </c>
      <c r="H25" s="2">
        <f t="shared" si="1"/>
        <v>13.636363636363635</v>
      </c>
      <c r="I25" s="4"/>
      <c r="J25" s="4"/>
      <c r="K25" s="2"/>
      <c r="L25" s="4"/>
      <c r="M25" s="4"/>
      <c r="N25" s="4"/>
      <c r="O25" s="4"/>
      <c r="P25" s="4"/>
      <c r="Q25" s="4"/>
      <c r="R25" s="4"/>
      <c r="S25" s="4"/>
    </row>
    <row r="26" spans="1:19" x14ac:dyDescent="0.3">
      <c r="A26" t="s">
        <v>41</v>
      </c>
      <c r="B26" s="1" t="s">
        <v>45</v>
      </c>
      <c r="D26">
        <v>19.100000000000001</v>
      </c>
      <c r="E26" s="3">
        <f t="shared" si="0"/>
        <v>1.561702150979418</v>
      </c>
      <c r="F26">
        <v>30</v>
      </c>
      <c r="G26">
        <v>29.5</v>
      </c>
      <c r="H26" s="2">
        <f t="shared" si="1"/>
        <v>1.3513513513513513</v>
      </c>
      <c r="I26" s="4"/>
      <c r="J26" s="4"/>
      <c r="K26" s="2"/>
      <c r="L26" s="4"/>
      <c r="M26" s="4"/>
      <c r="N26" s="4"/>
      <c r="O26" s="4"/>
      <c r="P26" s="4"/>
      <c r="Q26" s="4"/>
      <c r="R26" s="4"/>
      <c r="S26" s="4"/>
    </row>
    <row r="27" spans="1:19" x14ac:dyDescent="0.3">
      <c r="A27" t="s">
        <v>41</v>
      </c>
      <c r="B27" s="1" t="s">
        <v>46</v>
      </c>
      <c r="D27">
        <v>19.2</v>
      </c>
      <c r="E27" s="3">
        <f t="shared" si="0"/>
        <v>1.5923759791043353</v>
      </c>
      <c r="F27">
        <v>0</v>
      </c>
      <c r="G27" t="s">
        <v>16</v>
      </c>
      <c r="H27" s="2" t="e">
        <f t="shared" si="1"/>
        <v>#VALUE!</v>
      </c>
      <c r="I27" s="4">
        <v>10</v>
      </c>
      <c r="J27" s="4">
        <v>29.4</v>
      </c>
      <c r="K27" s="2">
        <f t="shared" ref="K27" si="4">I27/J27</f>
        <v>0.3401360544217687</v>
      </c>
      <c r="L27" s="4"/>
      <c r="M27" s="4"/>
      <c r="N27" s="4"/>
      <c r="O27" s="4"/>
      <c r="P27" s="4">
        <v>8.9</v>
      </c>
      <c r="Q27" s="4">
        <v>33</v>
      </c>
      <c r="R27" s="4"/>
      <c r="S27" s="4"/>
    </row>
    <row r="28" spans="1:19" x14ac:dyDescent="0.3">
      <c r="A28" t="s">
        <v>41</v>
      </c>
      <c r="B28" s="1" t="s">
        <v>47</v>
      </c>
      <c r="D28">
        <v>19.399999999999999</v>
      </c>
      <c r="E28" s="3">
        <f t="shared" si="0"/>
        <v>1.6542041652986852</v>
      </c>
      <c r="F28">
        <v>11</v>
      </c>
      <c r="G28">
        <v>10</v>
      </c>
      <c r="H28" s="2">
        <f t="shared" si="1"/>
        <v>5.5555555555555554</v>
      </c>
      <c r="I28" s="4"/>
      <c r="J28" s="4"/>
      <c r="K28" s="2"/>
      <c r="L28" s="4"/>
      <c r="M28" s="4"/>
      <c r="N28" s="4"/>
      <c r="O28" s="4"/>
      <c r="P28" s="4"/>
      <c r="Q28" s="4"/>
      <c r="R28" s="4"/>
      <c r="S28" s="4"/>
    </row>
    <row r="29" spans="1:19" x14ac:dyDescent="0.3">
      <c r="A29" t="s">
        <v>41</v>
      </c>
      <c r="B29" s="1" t="s">
        <v>48</v>
      </c>
      <c r="D29">
        <v>11.3</v>
      </c>
      <c r="E29" s="3">
        <f t="shared" si="0"/>
        <v>-0.3373521897465479</v>
      </c>
      <c r="F29">
        <v>7</v>
      </c>
      <c r="G29">
        <v>6</v>
      </c>
      <c r="H29" s="2">
        <f t="shared" si="1"/>
        <v>7.1428571428571423</v>
      </c>
      <c r="I29" s="4"/>
      <c r="J29" s="4"/>
      <c r="K29" s="2"/>
      <c r="L29" s="4"/>
      <c r="M29" s="4"/>
      <c r="N29" s="4"/>
      <c r="O29" s="4"/>
      <c r="P29" s="4"/>
      <c r="Q29" s="4"/>
      <c r="R29" s="4"/>
      <c r="S29" s="4"/>
    </row>
    <row r="30" spans="1:19" x14ac:dyDescent="0.3">
      <c r="A30" t="s">
        <v>41</v>
      </c>
      <c r="B30" s="1" t="s">
        <v>49</v>
      </c>
      <c r="D30">
        <v>7.8</v>
      </c>
      <c r="E30" s="3">
        <f t="shared" si="0"/>
        <v>-0.87274263626110093</v>
      </c>
      <c r="F30">
        <v>0</v>
      </c>
      <c r="G30" t="s">
        <v>16</v>
      </c>
      <c r="H30" s="2" t="e">
        <f t="shared" si="1"/>
        <v>#VALUE!</v>
      </c>
      <c r="I30" s="4"/>
      <c r="J30" s="4"/>
      <c r="K30" s="2"/>
      <c r="L30" s="4"/>
      <c r="M30" s="4"/>
      <c r="N30" s="4"/>
      <c r="O30" s="4"/>
      <c r="P30" s="4"/>
      <c r="Q30" s="4"/>
      <c r="R30" s="4"/>
      <c r="S30" s="4"/>
    </row>
    <row r="31" spans="1:19" x14ac:dyDescent="0.3">
      <c r="A31" t="s">
        <v>41</v>
      </c>
      <c r="B31" s="1" t="s">
        <v>50</v>
      </c>
      <c r="D31">
        <v>15.2</v>
      </c>
      <c r="E31" s="3">
        <f t="shared" si="0"/>
        <v>0.49036063968170995</v>
      </c>
      <c r="F31">
        <v>11</v>
      </c>
      <c r="G31" t="s">
        <v>16</v>
      </c>
      <c r="H31" s="2" t="e">
        <f t="shared" si="1"/>
        <v>#VALUE!</v>
      </c>
      <c r="I31" s="4"/>
      <c r="J31" s="4"/>
      <c r="K31" s="2"/>
      <c r="L31" s="4"/>
      <c r="M31" s="4"/>
      <c r="N31" s="4"/>
      <c r="O31" s="4"/>
      <c r="P31" s="4"/>
      <c r="Q31" s="4"/>
      <c r="R31" s="4"/>
      <c r="S31" s="4"/>
    </row>
    <row r="32" spans="1:19" x14ac:dyDescent="0.3">
      <c r="A32" t="s">
        <v>41</v>
      </c>
      <c r="B32" s="1" t="s">
        <v>51</v>
      </c>
      <c r="D32">
        <v>10.9</v>
      </c>
      <c r="E32" s="3">
        <f t="shared" si="0"/>
        <v>-0.40847062153486824</v>
      </c>
      <c r="F32">
        <v>0</v>
      </c>
      <c r="G32" t="s">
        <v>16</v>
      </c>
      <c r="H32" s="2" t="e">
        <f t="shared" si="1"/>
        <v>#VALUE!</v>
      </c>
      <c r="I32" s="4"/>
      <c r="J32" s="4"/>
      <c r="K32" s="2"/>
      <c r="L32" s="4"/>
      <c r="M32" s="4"/>
      <c r="N32" s="4"/>
      <c r="O32" s="4"/>
      <c r="P32" s="4"/>
      <c r="Q32" s="4"/>
      <c r="R32" s="4"/>
      <c r="S32" s="4"/>
    </row>
    <row r="33" spans="1:19" x14ac:dyDescent="0.3">
      <c r="A33" t="s">
        <v>41</v>
      </c>
      <c r="B33" s="1" t="s">
        <v>52</v>
      </c>
      <c r="H33" s="2"/>
      <c r="I33" s="4">
        <v>13.7</v>
      </c>
      <c r="J33" s="4">
        <v>56.8</v>
      </c>
      <c r="K33" s="2">
        <f t="shared" ref="K33:K34" si="5">I33/J33</f>
        <v>0.24119718309859156</v>
      </c>
      <c r="L33" s="4">
        <v>59</v>
      </c>
      <c r="M33" s="4"/>
      <c r="N33" s="4"/>
      <c r="O33" s="4">
        <v>6</v>
      </c>
      <c r="P33" s="4"/>
      <c r="Q33" s="4"/>
      <c r="R33" s="4"/>
      <c r="S33" s="4"/>
    </row>
    <row r="34" spans="1:19" x14ac:dyDescent="0.3">
      <c r="A34" t="s">
        <v>41</v>
      </c>
      <c r="B34" s="1" t="s">
        <v>53</v>
      </c>
      <c r="H34" s="2"/>
      <c r="I34" s="4">
        <v>13.7</v>
      </c>
      <c r="J34" s="4">
        <v>56.8</v>
      </c>
      <c r="K34" s="2">
        <f t="shared" si="5"/>
        <v>0.24119718309859156</v>
      </c>
      <c r="L34" s="4">
        <v>22.7</v>
      </c>
      <c r="M34" s="4">
        <v>8</v>
      </c>
      <c r="N34" s="4">
        <v>20.9</v>
      </c>
      <c r="O34" s="4">
        <v>13.1</v>
      </c>
      <c r="P34" s="4"/>
      <c r="Q34" s="4"/>
      <c r="R34" s="4"/>
      <c r="S34" s="4"/>
    </row>
    <row r="35" spans="1:19" x14ac:dyDescent="0.3">
      <c r="A35" t="s">
        <v>41</v>
      </c>
      <c r="B35" s="1" t="s">
        <v>54</v>
      </c>
      <c r="D35">
        <v>15.6</v>
      </c>
      <c r="E35" s="3">
        <f t="shared" si="0"/>
        <v>0.58902945495559655</v>
      </c>
      <c r="F35">
        <v>23</v>
      </c>
      <c r="G35">
        <v>22</v>
      </c>
      <c r="H35" s="2">
        <f t="shared" si="1"/>
        <v>3.3333333333333335</v>
      </c>
      <c r="I35" s="4"/>
      <c r="J35" s="4"/>
      <c r="K35" s="2"/>
      <c r="L35" s="4"/>
      <c r="M35" s="4"/>
      <c r="N35" s="4"/>
      <c r="O35" s="4"/>
      <c r="P35" s="4"/>
      <c r="Q35" s="4"/>
      <c r="R35" s="4"/>
      <c r="S35" s="4"/>
    </row>
    <row r="36" spans="1:19" x14ac:dyDescent="0.3">
      <c r="A36" t="s">
        <v>55</v>
      </c>
      <c r="B36" s="1" t="s">
        <v>21</v>
      </c>
      <c r="D36">
        <v>11.2</v>
      </c>
      <c r="E36" s="3">
        <f t="shared" si="0"/>
        <v>-0.35537206266588606</v>
      </c>
      <c r="F36">
        <v>1</v>
      </c>
      <c r="G36" t="s">
        <v>16</v>
      </c>
      <c r="H36" s="2" t="e">
        <f t="shared" si="1"/>
        <v>#VALUE!</v>
      </c>
      <c r="I36" s="4">
        <v>9.3000000000000007</v>
      </c>
      <c r="J36" s="4">
        <v>32.5</v>
      </c>
      <c r="K36" s="2">
        <f t="shared" ref="K36" si="6">I36/J36</f>
        <v>0.2861538461538462</v>
      </c>
      <c r="L36" s="4">
        <v>52</v>
      </c>
      <c r="M36" s="4"/>
      <c r="N36" s="4"/>
      <c r="O36" s="4">
        <v>7.9</v>
      </c>
      <c r="P36" s="4"/>
      <c r="Q36" s="4"/>
      <c r="R36" s="4"/>
      <c r="S36" s="4"/>
    </row>
    <row r="37" spans="1:19" x14ac:dyDescent="0.3">
      <c r="A37" t="s">
        <v>56</v>
      </c>
      <c r="B37" s="1" t="s">
        <v>32</v>
      </c>
      <c r="D37">
        <v>11.6</v>
      </c>
      <c r="E37" s="3">
        <f t="shared" si="0"/>
        <v>-0.28233151109950283</v>
      </c>
      <c r="F37">
        <v>9</v>
      </c>
      <c r="G37" t="s">
        <v>16</v>
      </c>
      <c r="H37" s="2" t="e">
        <f t="shared" si="1"/>
        <v>#VALUE!</v>
      </c>
      <c r="I37" s="4"/>
      <c r="J37" s="4"/>
      <c r="K37" s="2"/>
      <c r="L37" s="4"/>
      <c r="M37" s="4"/>
      <c r="N37" s="4"/>
      <c r="O37" s="4"/>
      <c r="P37" s="4"/>
      <c r="Q37" s="4"/>
      <c r="R37" s="4"/>
      <c r="S37" s="4"/>
    </row>
    <row r="38" spans="1:19" x14ac:dyDescent="0.3">
      <c r="A38" t="s">
        <v>57</v>
      </c>
      <c r="B38" s="1" t="s">
        <v>21</v>
      </c>
      <c r="D38">
        <v>17.5</v>
      </c>
      <c r="E38" s="3">
        <f t="shared" si="0"/>
        <v>1.0927049251321141</v>
      </c>
      <c r="F38">
        <v>3</v>
      </c>
      <c r="G38">
        <v>2</v>
      </c>
      <c r="H38" s="2">
        <f t="shared" si="1"/>
        <v>10</v>
      </c>
      <c r="I38" s="4"/>
      <c r="J38" s="4"/>
      <c r="K38" s="2"/>
      <c r="L38" s="4"/>
      <c r="M38" s="4"/>
      <c r="N38" s="4"/>
      <c r="O38" s="4"/>
      <c r="P38" s="4"/>
      <c r="Q38" s="4"/>
      <c r="R38" s="4"/>
      <c r="S38" s="4"/>
    </row>
    <row r="39" spans="1:19" x14ac:dyDescent="0.3">
      <c r="A39" t="s">
        <v>58</v>
      </c>
      <c r="B39" s="1" t="s">
        <v>21</v>
      </c>
      <c r="D39">
        <v>14.3</v>
      </c>
      <c r="E39" s="3">
        <f t="shared" si="0"/>
        <v>0.27772613923352218</v>
      </c>
      <c r="F39">
        <v>8</v>
      </c>
      <c r="G39" t="s">
        <v>16</v>
      </c>
      <c r="H39" s="2" t="e">
        <f t="shared" si="1"/>
        <v>#VALUE!</v>
      </c>
      <c r="I39" s="4"/>
      <c r="J39" s="4"/>
      <c r="K39" s="2"/>
      <c r="L39" s="4"/>
      <c r="M39" s="4"/>
      <c r="N39" s="4"/>
      <c r="O39" s="4"/>
      <c r="P39" s="4"/>
      <c r="Q39" s="4"/>
      <c r="R39" s="4"/>
      <c r="S39" s="4"/>
    </row>
    <row r="40" spans="1:19" x14ac:dyDescent="0.3">
      <c r="A40" t="s">
        <v>59</v>
      </c>
      <c r="B40" s="1" t="s">
        <v>60</v>
      </c>
      <c r="D40">
        <v>15.3</v>
      </c>
      <c r="E40" s="3">
        <f t="shared" si="0"/>
        <v>0.51478757852792367</v>
      </c>
      <c r="F40">
        <v>14</v>
      </c>
      <c r="G40">
        <v>13</v>
      </c>
      <c r="H40" s="2">
        <f t="shared" si="1"/>
        <v>4.7619047619047619</v>
      </c>
      <c r="I40" s="4"/>
      <c r="J40" s="4"/>
      <c r="K40" s="2"/>
      <c r="L40" s="4"/>
      <c r="M40" s="4"/>
      <c r="N40" s="4"/>
      <c r="O40" s="4"/>
      <c r="P40" s="4"/>
      <c r="Q40" s="4"/>
      <c r="R40" s="4"/>
      <c r="S40" s="4"/>
    </row>
    <row r="41" spans="1:19" x14ac:dyDescent="0.3">
      <c r="A41" t="s">
        <v>59</v>
      </c>
      <c r="B41" s="1" t="s">
        <v>61</v>
      </c>
      <c r="D41">
        <v>20.5</v>
      </c>
      <c r="E41" s="3">
        <f t="shared" si="0"/>
        <v>2.0057118197119062</v>
      </c>
      <c r="F41">
        <v>0</v>
      </c>
      <c r="G41" t="s">
        <v>16</v>
      </c>
      <c r="H41" s="2" t="e">
        <f t="shared" si="1"/>
        <v>#VALUE!</v>
      </c>
      <c r="I41" s="4"/>
      <c r="J41" s="4"/>
      <c r="K41" s="2"/>
      <c r="L41" s="4"/>
      <c r="M41" s="4"/>
      <c r="N41" s="4"/>
      <c r="O41" s="4"/>
      <c r="P41" s="4"/>
      <c r="Q41" s="4"/>
      <c r="R41" s="4"/>
      <c r="S41" s="4"/>
    </row>
    <row r="42" spans="1:19" x14ac:dyDescent="0.3">
      <c r="H42" s="2"/>
      <c r="I42" s="2"/>
    </row>
    <row r="43" spans="1:19" x14ac:dyDescent="0.3">
      <c r="H43" s="2"/>
      <c r="I43" s="2"/>
    </row>
    <row r="44" spans="1:19" x14ac:dyDescent="0.3">
      <c r="H44" s="2"/>
      <c r="I44" s="2"/>
    </row>
    <row r="45" spans="1:19" x14ac:dyDescent="0.3">
      <c r="H45" s="2"/>
      <c r="I45" s="2"/>
    </row>
    <row r="46" spans="1:19" x14ac:dyDescent="0.3">
      <c r="H46" s="2"/>
      <c r="I46" s="2"/>
    </row>
    <row r="47" spans="1:19" x14ac:dyDescent="0.3">
      <c r="H47" s="2"/>
      <c r="I47" s="2"/>
    </row>
    <row r="48" spans="1:19" x14ac:dyDescent="0.3">
      <c r="H48" s="2"/>
      <c r="I48" s="2"/>
    </row>
    <row r="49" spans="8:9" x14ac:dyDescent="0.3">
      <c r="H49" s="2"/>
      <c r="I49" s="2"/>
    </row>
    <row r="50" spans="8:9" x14ac:dyDescent="0.3">
      <c r="H50" s="2"/>
      <c r="I50" s="2"/>
    </row>
    <row r="51" spans="8:9" x14ac:dyDescent="0.3">
      <c r="H51" s="2"/>
      <c r="I51" s="2"/>
    </row>
    <row r="52" spans="8:9" x14ac:dyDescent="0.3">
      <c r="H52" s="2"/>
      <c r="I52" s="2"/>
    </row>
    <row r="53" spans="8:9" x14ac:dyDescent="0.3">
      <c r="H53" s="2"/>
      <c r="I53" s="2"/>
    </row>
    <row r="54" spans="8:9" x14ac:dyDescent="0.3">
      <c r="H54" s="2"/>
      <c r="I54" s="2"/>
    </row>
    <row r="55" spans="8:9" x14ac:dyDescent="0.3">
      <c r="H55" s="2"/>
      <c r="I55" s="2"/>
    </row>
    <row r="56" spans="8:9" x14ac:dyDescent="0.3">
      <c r="H56" s="2"/>
      <c r="I56" s="2"/>
    </row>
    <row r="57" spans="8:9" x14ac:dyDescent="0.3">
      <c r="H57" s="2"/>
      <c r="I57" s="2"/>
    </row>
    <row r="58" spans="8:9" x14ac:dyDescent="0.3">
      <c r="H58" s="2"/>
      <c r="I58" s="2"/>
    </row>
    <row r="59" spans="8:9" x14ac:dyDescent="0.3">
      <c r="H59" s="2"/>
      <c r="I59" s="2"/>
    </row>
    <row r="60" spans="8:9" x14ac:dyDescent="0.3">
      <c r="H60" s="2"/>
      <c r="I60" s="2"/>
    </row>
    <row r="61" spans="8:9" x14ac:dyDescent="0.3">
      <c r="H61" s="2"/>
      <c r="I61" s="2"/>
    </row>
    <row r="62" spans="8:9" x14ac:dyDescent="0.3">
      <c r="H62" s="2"/>
      <c r="I62" s="2"/>
    </row>
    <row r="63" spans="8:9" x14ac:dyDescent="0.3">
      <c r="H63" s="2"/>
      <c r="I63" s="2"/>
    </row>
    <row r="64" spans="8:9" x14ac:dyDescent="0.3">
      <c r="H64" s="2"/>
      <c r="I64" s="2"/>
    </row>
    <row r="65" spans="8:9" x14ac:dyDescent="0.3">
      <c r="H65" s="2"/>
      <c r="I65" s="2"/>
    </row>
    <row r="66" spans="8:9" x14ac:dyDescent="0.3">
      <c r="H66" s="2"/>
      <c r="I66" s="2"/>
    </row>
    <row r="67" spans="8:9" x14ac:dyDescent="0.3">
      <c r="H67" s="2"/>
      <c r="I67" s="2"/>
    </row>
    <row r="68" spans="8:9" x14ac:dyDescent="0.3">
      <c r="H68" s="2"/>
      <c r="I68" s="2"/>
    </row>
    <row r="69" spans="8:9" x14ac:dyDescent="0.3">
      <c r="H69" s="2"/>
      <c r="I69" s="2"/>
    </row>
    <row r="70" spans="8:9" x14ac:dyDescent="0.3">
      <c r="H70" s="2"/>
      <c r="I70" s="2"/>
    </row>
    <row r="71" spans="8:9" x14ac:dyDescent="0.3">
      <c r="H71" s="2"/>
      <c r="I71" s="2"/>
    </row>
    <row r="72" spans="8:9" x14ac:dyDescent="0.3">
      <c r="H72" s="2"/>
      <c r="I72" s="2"/>
    </row>
    <row r="73" spans="8:9" x14ac:dyDescent="0.3">
      <c r="H73" s="2"/>
      <c r="I73" s="2"/>
    </row>
    <row r="74" spans="8:9" x14ac:dyDescent="0.3">
      <c r="H74" s="2"/>
      <c r="I74" s="2"/>
    </row>
    <row r="75" spans="8:9" x14ac:dyDescent="0.3">
      <c r="H75" s="2"/>
      <c r="I75" s="2"/>
    </row>
    <row r="76" spans="8:9" x14ac:dyDescent="0.3">
      <c r="H76" s="2"/>
      <c r="I76" s="2"/>
    </row>
    <row r="77" spans="8:9" x14ac:dyDescent="0.3">
      <c r="H77" s="2"/>
      <c r="I77" s="2"/>
    </row>
    <row r="78" spans="8:9" x14ac:dyDescent="0.3">
      <c r="H78" s="2"/>
      <c r="I78" s="2"/>
    </row>
    <row r="79" spans="8:9" x14ac:dyDescent="0.3">
      <c r="H79" s="2"/>
      <c r="I79" s="2"/>
    </row>
    <row r="80" spans="8:9" x14ac:dyDescent="0.3">
      <c r="H80" s="2"/>
      <c r="I80" s="2"/>
    </row>
    <row r="81" spans="8:9" x14ac:dyDescent="0.3">
      <c r="H81" s="2"/>
      <c r="I81" s="2"/>
    </row>
    <row r="82" spans="8:9" x14ac:dyDescent="0.3">
      <c r="H82" s="2"/>
      <c r="I82" s="2"/>
    </row>
    <row r="83" spans="8:9" x14ac:dyDescent="0.3">
      <c r="H83" s="2"/>
      <c r="I83" s="2"/>
    </row>
    <row r="84" spans="8:9" x14ac:dyDescent="0.3">
      <c r="H84" s="2"/>
      <c r="I84" s="2"/>
    </row>
    <row r="85" spans="8:9" x14ac:dyDescent="0.3">
      <c r="H85" s="2"/>
      <c r="I85" s="2"/>
    </row>
    <row r="86" spans="8:9" x14ac:dyDescent="0.3">
      <c r="H86" s="2"/>
      <c r="I86" s="2"/>
    </row>
    <row r="87" spans="8:9" x14ac:dyDescent="0.3">
      <c r="H87" s="2"/>
      <c r="I87" s="2"/>
    </row>
    <row r="88" spans="8:9" x14ac:dyDescent="0.3">
      <c r="H88" s="2"/>
      <c r="I88" s="2"/>
    </row>
    <row r="89" spans="8:9" x14ac:dyDescent="0.3">
      <c r="H89" s="2"/>
      <c r="I89" s="2"/>
    </row>
    <row r="90" spans="8:9" x14ac:dyDescent="0.3">
      <c r="H90" s="2"/>
      <c r="I90" s="2"/>
    </row>
    <row r="91" spans="8:9" x14ac:dyDescent="0.3">
      <c r="H91" s="2"/>
      <c r="I91" s="2"/>
    </row>
    <row r="92" spans="8:9" x14ac:dyDescent="0.3">
      <c r="H92" s="2"/>
      <c r="I92" s="2"/>
    </row>
    <row r="93" spans="8:9" x14ac:dyDescent="0.3">
      <c r="H93" s="2"/>
      <c r="I93" s="2"/>
    </row>
    <row r="94" spans="8:9" x14ac:dyDescent="0.3">
      <c r="H94" s="2"/>
      <c r="I94" s="2"/>
    </row>
    <row r="95" spans="8:9" x14ac:dyDescent="0.3">
      <c r="H95" s="2"/>
      <c r="I95" s="2"/>
    </row>
    <row r="96" spans="8:9" x14ac:dyDescent="0.3">
      <c r="H96" s="2"/>
      <c r="I96" s="2"/>
    </row>
    <row r="97" spans="8:9" x14ac:dyDescent="0.3">
      <c r="H97" s="2"/>
      <c r="I97" s="2"/>
    </row>
    <row r="98" spans="8:9" x14ac:dyDescent="0.3">
      <c r="H98" s="2"/>
      <c r="I98" s="2"/>
    </row>
    <row r="99" spans="8:9" x14ac:dyDescent="0.3">
      <c r="H99" s="2"/>
      <c r="I99" s="2"/>
    </row>
    <row r="100" spans="8:9" x14ac:dyDescent="0.3">
      <c r="H100" s="2"/>
      <c r="I100" s="2"/>
    </row>
    <row r="101" spans="8:9" x14ac:dyDescent="0.3">
      <c r="H101" s="2"/>
      <c r="I101" s="2"/>
    </row>
    <row r="102" spans="8:9" x14ac:dyDescent="0.3">
      <c r="H102" s="2"/>
      <c r="I102" s="2"/>
    </row>
    <row r="298" spans="4:4" x14ac:dyDescent="0.3">
      <c r="D29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Eliáš</dc:creator>
  <cp:lastModifiedBy>Martin Eliáš</cp:lastModifiedBy>
  <dcterms:created xsi:type="dcterms:W3CDTF">2026-01-13T15:12:21Z</dcterms:created>
  <dcterms:modified xsi:type="dcterms:W3CDTF">2026-01-13T16:10:20Z</dcterms:modified>
</cp:coreProperties>
</file>