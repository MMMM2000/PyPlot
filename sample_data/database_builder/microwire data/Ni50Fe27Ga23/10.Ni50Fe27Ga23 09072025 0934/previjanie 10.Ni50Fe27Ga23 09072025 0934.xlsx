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BB783034-3F5A-4E6E-ABEF-4644ECF77A1A}" xr6:coauthVersionLast="47" xr6:coauthVersionMax="47" xr10:uidLastSave="{00000000-0000-0000-0000-000000000000}"/>
  <bookViews>
    <workbookView xWindow="3765" yWindow="705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G7" i="1" l="1"/>
  <c r="G8" i="1"/>
  <c r="G4" i="1"/>
  <c r="G5" i="1"/>
  <c r="G6" i="1"/>
  <c r="G3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<sst xmlns="http://schemas.openxmlformats.org/spreadsheetml/2006/main" count="46" uniqueCount="41">
  <si>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</si>
  <si>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</si>
  <si>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</si>
  <si>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</si>
  <si>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</si>
  <si>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</si>
  <si>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</si>
  <si>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</si>
  <si>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</si>
  <si>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</si>
  <si>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</si>
  <si>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</si>
  <si>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</si>
  <si>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</si>
  <si>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</si>
  <si>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</si>
  <si>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</si>
  <si>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</si>
  <si>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</si>
  <si>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</si>
  <si>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6.</t>
  </si>
  <si>
    <t>7.</t>
  </si>
  <si>
    <t>odpor</t>
  </si>
  <si>
    <t>8.</t>
  </si>
  <si>
    <t>9.</t>
  </si>
  <si>
    <t>10.</t>
  </si>
  <si>
    <t>11.</t>
  </si>
  <si>
    <t>13.</t>
  </si>
  <si>
    <t>12.</t>
  </si>
  <si>
    <t>14.</t>
  </si>
  <si>
    <t>15.</t>
  </si>
  <si>
    <t>16.</t>
  </si>
  <si>
    <t>17.</t>
  </si>
  <si>
    <t>18.</t>
  </si>
  <si>
    <t>19.</t>
  </si>
  <si>
    <t>20.</t>
  </si>
  <si>
    <r>
      <t>10.Ni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09.07.2025 09:34</t>
    </r>
  </si>
  <si>
    <t>ostal</t>
  </si>
  <si>
    <t>ano</t>
  </si>
  <si>
    <t>?</t>
  </si>
  <si>
    <t xml:space="preserve">nie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</si>
</sst>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J18" sqref="J18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21" t="s">
        <v>36</v>
      </c>
      <c r="B1" s="22"/>
      <c r="C1" s="22"/>
      <c r="D1" s="22"/>
      <c r="E1" s="22"/>
      <c r="F1" s="22"/>
      <c r="G1" s="23"/>
      <c r="H1" s="26"/>
      <c r="I1" s="24" t="s">
        <v>22</v>
      </c>
      <c r="J1" s="18" t="s">
        <v>10</v>
      </c>
      <c r="K1" s="19"/>
      <c r="L1" s="19"/>
      <c r="M1" s="19"/>
      <c r="N1" s="20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7" t="s">
        <v>37</v>
      </c>
      <c r="I2" s="25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45847</v>
      </c>
      <c r="C3" s="3">
        <v>0</v>
      </c>
      <c r="D3" s="3">
        <f>C3*0.1256</f>
        <v>0</v>
      </c>
      <c r="E3" s="4">
        <v>32</v>
      </c>
      <c r="F3" s="3">
        <v>89</v>
      </c>
      <c r="G3" s="12">
        <f>E3/F3</f>
        <v>0.3595505617977528</v>
      </c>
      <c r="H3" s="12" t="s">
        <v>38</v>
      </c>
      <c r="I3" s="3"/>
      <c r="J3" s="4"/>
      <c r="K3" s="4"/>
      <c r="L3" s="4"/>
      <c r="M3" s="4"/>
      <c r="N3" s="4"/>
      <c r="O3" s="3"/>
    </row>
    <row r="4" spans="1:15" s="17" customFormat="1" x14ac:dyDescent="0.25">
      <c r="A4" s="13" t="s">
        <v>15</v>
      </c>
      <c r="B4" s="14">
        <v>45847</v>
      </c>
      <c r="C4" s="13">
        <v>51</v>
      </c>
      <c r="D4" s="3">
        <f t="shared" ref="D4:D11" si="0">C4*0.1256</f>
        <v>6.4055999999999997</v>
      </c>
      <c r="E4" s="15">
        <v>37</v>
      </c>
      <c r="F4" s="13">
        <v>87</v>
      </c>
      <c r="G4" s="12">
        <f t="shared" ref="G4:G8" si="1">E4/F4</f>
        <v>0.42528735632183906</v>
      </c>
      <c r="H4" s="12" t="s">
        <v>38</v>
      </c>
      <c r="I4" s="13"/>
      <c r="J4" s="15"/>
      <c r="K4" s="15"/>
      <c r="L4" s="15"/>
      <c r="M4" s="15"/>
      <c r="N4" s="15"/>
      <c r="O4" s="13"/>
    </row>
    <row r="5" spans="1:15" s="17" customFormat="1" x14ac:dyDescent="0.25">
      <c r="A5" s="13" t="s">
        <v>16</v>
      </c>
      <c r="B5" s="14">
        <v>45847</v>
      </c>
      <c r="C5" s="13">
        <v>50.5</v>
      </c>
      <c r="D5" s="13">
        <f t="shared" si="0"/>
        <v>6.3427999999999995</v>
      </c>
      <c r="E5" s="15" t="s">
        <v>39</v>
      </c>
      <c r="F5" s="13">
        <v>121</v>
      </c>
      <c r="G5" s="12" t="e">
        <f t="shared" si="1"/>
        <v>#VALUE!</v>
      </c>
      <c r="H5" s="12" t="s">
        <v>40</v>
      </c>
      <c r="I5" s="13"/>
      <c r="J5" s="15"/>
      <c r="K5" s="15"/>
      <c r="L5" s="15"/>
      <c r="M5" s="15"/>
      <c r="N5" s="15"/>
      <c r="O5" s="13"/>
    </row>
    <row r="6" spans="1:15" s="17" customFormat="1" x14ac:dyDescent="0.25">
      <c r="A6" s="13" t="s">
        <v>17</v>
      </c>
      <c r="B6" s="14">
        <v>45847</v>
      </c>
      <c r="C6" s="13">
        <v>56</v>
      </c>
      <c r="D6" s="3">
        <f t="shared" si="0"/>
        <v>7.0335999999999999</v>
      </c>
      <c r="E6" s="15" t="s">
        <v>39</v>
      </c>
      <c r="F6" s="13">
        <v>110</v>
      </c>
      <c r="G6" s="12" t="e">
        <f t="shared" si="1"/>
        <v>#VALUE!</v>
      </c>
      <c r="H6" s="12" t="s">
        <v>40</v>
      </c>
      <c r="I6" s="13"/>
      <c r="J6" s="15"/>
      <c r="K6" s="15"/>
      <c r="L6" s="15"/>
      <c r="M6" s="15"/>
      <c r="N6" s="15"/>
      <c r="O6" s="13"/>
    </row>
    <row r="7" spans="1:15" s="17" customFormat="1" x14ac:dyDescent="0.25">
      <c r="A7" s="13" t="s">
        <v>18</v>
      </c>
      <c r="B7" s="14">
        <v>45847</v>
      </c>
      <c r="C7" s="13">
        <v>90</v>
      </c>
      <c r="D7" s="13">
        <f t="shared" si="0"/>
        <v>11.303999999999998</v>
      </c>
      <c r="E7" s="15">
        <v>27</v>
      </c>
      <c r="F7" s="13">
        <v>68</v>
      </c>
      <c r="G7" s="12">
        <f t="shared" si="1"/>
        <v>0.39705882352941174</v>
      </c>
      <c r="H7" s="16" t="s">
        <v>38</v>
      </c>
      <c r="I7" s="13"/>
      <c r="J7" s="15"/>
      <c r="K7" s="15"/>
      <c r="L7" s="15"/>
      <c r="M7" s="15"/>
      <c r="N7" s="15"/>
      <c r="O7" s="13"/>
    </row>
    <row r="8" spans="1:15" x14ac:dyDescent="0.25">
      <c r="A8" s="3" t="s">
        <v>19</v>
      </c>
      <c r="B8" s="5">
        <v>45847</v>
      </c>
      <c r="C8" s="3">
        <v>15</v>
      </c>
      <c r="D8" s="3">
        <f t="shared" si="0"/>
        <v>1.8839999999999999</v>
      </c>
      <c r="E8" s="4">
        <v>50</v>
      </c>
      <c r="F8" s="3">
        <v>126</v>
      </c>
      <c r="G8" s="12">
        <f t="shared" si="1"/>
        <v>0.3968253968253968</v>
      </c>
      <c r="H8" s="12" t="s">
        <v>38</v>
      </c>
      <c r="I8" s="3"/>
      <c r="J8" s="4"/>
      <c r="K8" s="4"/>
      <c r="L8" s="4"/>
      <c r="M8" s="4"/>
      <c r="N8" s="4"/>
      <c r="O8" s="3"/>
    </row>
    <row r="9" spans="1:15" s="17" customFormat="1" x14ac:dyDescent="0.25">
      <c r="A9" s="13" t="s">
        <v>20</v>
      </c>
      <c r="B9" s="14"/>
      <c r="C9" s="13"/>
      <c r="D9" s="13">
        <f t="shared" si="0"/>
        <v>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3"/>
    </row>
    <row r="10" spans="1:15" x14ac:dyDescent="0.25">
      <c r="A10" s="3" t="s">
        <v>21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A14" s="3" t="s">
        <v>26</v>
      </c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3"/>
    </row>
    <row r="15" spans="1:15" x14ac:dyDescent="0.25">
      <c r="A15" s="3" t="s">
        <v>28</v>
      </c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3"/>
    </row>
    <row r="16" spans="1:15" x14ac:dyDescent="0.25">
      <c r="A16" s="3" t="s">
        <v>27</v>
      </c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3"/>
    </row>
    <row r="17" spans="1:15" x14ac:dyDescent="0.25">
      <c r="A17" s="3" t="s">
        <v>29</v>
      </c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3"/>
    </row>
    <row r="18" spans="1:15" x14ac:dyDescent="0.25">
      <c r="A18" s="3" t="s">
        <v>30</v>
      </c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3"/>
    </row>
    <row r="19" spans="1:15" x14ac:dyDescent="0.25">
      <c r="A19" s="3" t="s">
        <v>31</v>
      </c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3"/>
    </row>
    <row r="20" spans="1:15" x14ac:dyDescent="0.25">
      <c r="A20" s="3" t="s">
        <v>32</v>
      </c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3"/>
    </row>
    <row r="21" spans="1:15" x14ac:dyDescent="0.25">
      <c r="A21" s="3" t="s">
        <v>33</v>
      </c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3"/>
    </row>
    <row r="22" spans="1:15" x14ac:dyDescent="0.25">
      <c r="A22" s="3" t="s">
        <v>34</v>
      </c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3"/>
    </row>
    <row r="23" spans="1:15" x14ac:dyDescent="0.25">
      <c r="A23" s="3" t="s">
        <v>35</v>
      </c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</row>
    <row r="24" spans="1:15" x14ac:dyDescent="0.25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3"/>
    </row>
    <row r="25" spans="1:15" x14ac:dyDescent="0.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</row>
    <row r="26" spans="1:15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</row>
    <row r="27" spans="1:15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</row>
  </sheetData>
  <mergeCells count="3">
    <mergeCell ref="J1:N1"/>
    <mergeCell ref="A1:G1"/>
    <mergeCell ref="I1:I2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2025-07-09T10:14:46Z</dcterms:modified>
</cp:coreProperties>
</file>